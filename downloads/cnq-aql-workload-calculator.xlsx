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/>
  <xr:revisionPtr revIDLastSave="0" documentId="13_ncr:1_{399EE2A1-158D-4170-B274-CAB15A42EE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ing Plan Inspection" sheetId="1" r:id="rId1"/>
    <sheet name="AQL Table" sheetId="4" state="hidden" r:id="rId2"/>
    <sheet name="details" sheetId="7" r:id="rId3"/>
    <sheet name="Workload picking" sheetId="5" r:id="rId4"/>
  </sheets>
  <definedNames>
    <definedName name="Acceptable_findings_MJ">VLOOKUP('Sampling Plan Inspection'!$D$7,'AQL Table'!$C$27:$O$44,HLOOKUP('Sampling Plan Inspection'!$J$7,'AQL Table'!$E$24:$O$26,3),FALSE)</definedName>
    <definedName name="Acceptable_findings_Mn">VLOOKUP('Sampling Plan Inspection'!$D$7,'AQL Table'!$C$27:$O$42,HLOOKUP('Sampling Plan Inspection'!$H$7,'AQL Table'!$E$24:$O$26,3))</definedName>
    <definedName name="Actual_Minor_Acceptable_Findings">VLOOKUP('Sampling Plan Inspection'!$F$7,'AQL Table'!$D$27:$O$42,HLOOKUP('Sampling Plan Inspection'!$H$7,'AQL Table'!$E$24:$O$26,3)-1)</definedName>
    <definedName name="_xlnm.Print_Area" localSheetId="0">'Sampling Plan Inspection'!$A$1:$O$34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2" i="1" l="1"/>
  <c r="H12" i="1"/>
  <c r="B13" i="1"/>
  <c r="A13" i="4"/>
  <c r="A12" i="4"/>
  <c r="A11" i="4"/>
  <c r="A17" i="4"/>
  <c r="A16" i="4"/>
  <c r="A15" i="4"/>
  <c r="A14" i="4"/>
  <c r="A19" i="4"/>
  <c r="A18" i="4"/>
  <c r="A9" i="4"/>
  <c r="B8" i="4" s="1"/>
  <c r="A20" i="4"/>
  <c r="A5" i="4"/>
  <c r="A6" i="4"/>
  <c r="B5" i="4" s="1"/>
  <c r="A7" i="4"/>
  <c r="B6" i="4" s="1"/>
  <c r="A8" i="4"/>
  <c r="B7" i="4" s="1"/>
  <c r="A10" i="4"/>
  <c r="B9" i="4" s="1"/>
  <c r="B10" i="4" l="1"/>
  <c r="B11" i="4" s="1"/>
  <c r="B12" i="4" s="1"/>
  <c r="B13" i="4" s="1"/>
  <c r="B14" i="4" s="1"/>
  <c r="B15" i="4" s="1"/>
  <c r="B16" i="4" s="1"/>
  <c r="B17" i="4" s="1"/>
  <c r="B18" i="4" s="1"/>
  <c r="B19" i="4" l="1"/>
  <c r="D7" i="1" s="1"/>
  <c r="I7" i="1" l="1"/>
  <c r="L7" i="1"/>
  <c r="N7" i="1"/>
  <c r="E7" i="1"/>
  <c r="F7" i="1" s="1"/>
  <c r="K7" i="1" s="1"/>
  <c r="L12" i="1" l="1"/>
</calcChain>
</file>

<file path=xl/sharedStrings.xml><?xml version="1.0" encoding="utf-8"?>
<sst xmlns="http://schemas.openxmlformats.org/spreadsheetml/2006/main" count="285" uniqueCount="88">
  <si>
    <t>Sampling Size</t>
  </si>
  <si>
    <t>I</t>
  </si>
  <si>
    <t>S1</t>
  </si>
  <si>
    <t>II</t>
  </si>
  <si>
    <t>S2</t>
  </si>
  <si>
    <t>S4</t>
  </si>
  <si>
    <t>Lot Size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</si>
  <si>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</si>
  <si>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</si>
  <si>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</si>
  <si>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</si>
  <si>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</si>
  <si>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</si>
  <si>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</si>
  <si>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</si>
  <si>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</si>
  <si>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</si>
  <si>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</si>
  <si>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</si>
  <si>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</si>
  <si>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</si>
  <si>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</si>
  <si>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</si>
  <si>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III</t>
  </si>
  <si>
    <t>S3</t>
  </si>
  <si>
    <t>General Inspection Level</t>
  </si>
  <si>
    <t>Special Inspection Level</t>
  </si>
  <si>
    <t>SAMPLING SIZE CODE LETTERS</t>
  </si>
  <si>
    <t>Total Production  size</t>
  </si>
  <si>
    <t>Inspection level</t>
  </si>
  <si>
    <t>to</t>
  </si>
  <si>
    <t>Sampling size Letter</t>
  </si>
  <si>
    <t>Sample Size Code Letter</t>
  </si>
  <si>
    <t>Sample Size</t>
  </si>
  <si>
    <t>Acceptable Quality Level (Normal Inspection)</t>
  </si>
  <si>
    <t>SINGLE SAMPLING PLANS FOR NORMAL INSPECTION</t>
  </si>
  <si>
    <t>Acceptable findings</t>
  </si>
  <si>
    <t>Acceptable Quality Level</t>
  </si>
  <si>
    <t>Minor AQL</t>
  </si>
  <si>
    <t>Major AQL</t>
  </si>
  <si>
    <t>+</t>
  </si>
  <si>
    <t>++</t>
  </si>
  <si>
    <t>Initial sample size validation</t>
  </si>
  <si>
    <t>Final Sampling size check</t>
  </si>
  <si>
    <t>Minimum sampling size</t>
  </si>
  <si>
    <t>Intermediate sampling size</t>
  </si>
  <si>
    <t>Initial Sampling Size</t>
  </si>
  <si>
    <t>Minor Acceptable findings</t>
  </si>
  <si>
    <t>Major Acceptable findings</t>
  </si>
  <si>
    <t>Sampling size</t>
  </si>
  <si>
    <t>Product category</t>
  </si>
  <si>
    <t>Product information</t>
  </si>
  <si>
    <t>Max # item per day</t>
  </si>
  <si>
    <t>Max quantity of item per day</t>
  </si>
  <si>
    <t>Number of item for this day</t>
  </si>
  <si>
    <t>= Calculated cells</t>
  </si>
  <si>
    <t>= Input the blank cells</t>
  </si>
  <si>
    <t>Manday needed</t>
  </si>
  <si>
    <t>Remarks:</t>
  </si>
  <si>
    <t>Workload calculation estimate</t>
  </si>
  <si>
    <t>Sampling plan is calculated according to ISO 2859 (commonly used for inspection)</t>
  </si>
  <si>
    <t>Workload estimate</t>
  </si>
  <si>
    <t>This calculation is made in order to ensure the customer requirement is satisfied</t>
  </si>
  <si>
    <t>General hardgoods without electric function</t>
  </si>
  <si>
    <t>Electrical appliance</t>
  </si>
  <si>
    <t>Complex electrical appliance</t>
  </si>
  <si>
    <t>Description</t>
  </si>
  <si>
    <t>For example: 
DVD system sets with speaker, VCD system sets with speaker, TV sets, Computer game sets</t>
  </si>
  <si>
    <t>Softlines</t>
  </si>
  <si>
    <t>Simple Softlines</t>
  </si>
  <si>
    <t>For example:
Pillow, towel, socks, backpack, bag, umbrella, fabric item</t>
  </si>
  <si>
    <t>For example:
Shirt, blouse, outerwear, jacket, sweater, jeans, underwear, t-shirt, trousers, shorts, skirt, Jacket, bra, quilt, shoes, luggage</t>
  </si>
  <si>
    <t>For example:
Toys: electric toy with wheel or assembly toy, adapter toy
Electric appliance: heater, radiator, lighting, juicer, toaster, kettle, pot, coffee machine, radio, loudspeaker, fridge</t>
  </si>
  <si>
    <t>Simple hardgoods</t>
  </si>
  <si>
    <t>For example:
Metal product: kitchenware, cookware, knife
Stationery: pen, pencil, paper or book with pages less than 100  
Porcelain product: kitchenware, teapot, cup</t>
  </si>
  <si>
    <t>For example:
Toys: soft, stuffing, plastic, wooden, metal
Luggage</t>
  </si>
  <si>
    <t>For example:
Furniture: table, chair, outdoor or indoor furniture 
Simple electric product: watch, clock, scale, USB key</t>
  </si>
  <si>
    <t>Simple electric product or technical hardgoods</t>
  </si>
  <si>
    <t>Max number of picking per day</t>
  </si>
  <si>
    <t>items</t>
  </si>
  <si>
    <t>For example:
Metal product: kitchenware, cookware, knife
Stationery: pen, pencil, paper or book with pages less than 100  
Toys: soft, stuffing, plastic, wooden, metal
Porcelain product: kitchenware, teapot, cup</t>
  </si>
  <si>
    <t>Simple electric product or other hardgoods</t>
  </si>
  <si>
    <t>For example: 
DVD system sets with speaker, VCD system sets with speaker, TV sets, Computer game sets, Spa, Sauna cabine</t>
  </si>
  <si>
    <t>For example:
Stationery
Luggage
Furniture: table, chair, outdoor or indoor furniture 
Simple electric product: watch, clock, scale, USB</t>
  </si>
  <si>
    <t xml:space="preserve">  </t>
  </si>
  <si>
    <t>The above calculation is an estimate, for special case kindly contact CNS planning team for confirmation</t>
  </si>
  <si>
    <t>Additionnal +50USD per 1 more items</t>
  </si>
  <si>
    <t>www.cn-Q.com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</si>
</sst>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26" xfId="0" applyBorder="1" applyProtection="1"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6" borderId="1" xfId="0" applyFill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quotePrefix="1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0" fillId="6" borderId="28" xfId="0" applyFill="1" applyBorder="1" applyAlignment="1">
      <alignment horizontal="left" vertical="top" wrapText="1"/>
    </xf>
    <xf numFmtId="0" fontId="0" fillId="6" borderId="27" xfId="0" applyFill="1" applyBorder="1" applyAlignment="1">
      <alignment horizontal="left" vertical="top" wrapText="1"/>
    </xf>
    <xf numFmtId="0" fontId="0" fillId="6" borderId="29" xfId="0" applyFill="1" applyBorder="1" applyAlignment="1">
      <alignment horizontal="left" vertical="top" wrapText="1"/>
    </xf>
    <xf numFmtId="0" fontId="0" fillId="6" borderId="30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31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6" borderId="32" xfId="0" applyFill="1" applyBorder="1" applyAlignment="1">
      <alignment horizontal="left" vertical="top" wrapText="1"/>
    </xf>
    <xf numFmtId="0" fontId="0" fillId="6" borderId="33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100156</xdr:rowOff>
    </xdr:from>
    <xdr:to>
      <xdr:col>1</xdr:col>
      <xdr:colOff>190500</xdr:colOff>
      <xdr:row>2</xdr:row>
      <xdr:rowOff>80819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" y="100156"/>
          <a:ext cx="930275" cy="431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28575</xdr:colOff>
      <xdr:row>0</xdr:row>
      <xdr:rowOff>109681</xdr:rowOff>
    </xdr:from>
    <xdr:to>
      <xdr:col>15</xdr:col>
      <xdr:colOff>190500</xdr:colOff>
      <xdr:row>2</xdr:row>
      <xdr:rowOff>90344</xdr:rowOff>
    </xdr:to>
    <xdr:pic>
      <xdr:nvPicPr>
        <xdr:cNvPr id="7" name="图片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442325" y="109681"/>
          <a:ext cx="930275" cy="431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28575</xdr:colOff>
      <xdr:row>27</xdr:row>
      <xdr:rowOff>65231</xdr:rowOff>
    </xdr:from>
    <xdr:to>
      <xdr:col>15</xdr:col>
      <xdr:colOff>190500</xdr:colOff>
      <xdr:row>29</xdr:row>
      <xdr:rowOff>128444</xdr:rowOff>
    </xdr:to>
    <xdr:pic>
      <xdr:nvPicPr>
        <xdr:cNvPr id="9" name="图片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442325" y="6129481"/>
          <a:ext cx="930275" cy="431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27</xdr:row>
      <xdr:rowOff>65231</xdr:rowOff>
    </xdr:from>
    <xdr:to>
      <xdr:col>1</xdr:col>
      <xdr:colOff>180975</xdr:colOff>
      <xdr:row>29</xdr:row>
      <xdr:rowOff>128444</xdr:rowOff>
    </xdr:to>
    <xdr:pic>
      <xdr:nvPicPr>
        <xdr:cNvPr id="10" name="图片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050" y="6129481"/>
          <a:ext cx="930275" cy="431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96015</xdr:rowOff>
    </xdr:from>
    <xdr:to>
      <xdr:col>1</xdr:col>
      <xdr:colOff>333375</xdr:colOff>
      <xdr:row>2</xdr:row>
      <xdr:rowOff>154809</xdr:rowOff>
    </xdr:to>
    <xdr:pic>
      <xdr:nvPicPr>
        <xdr:cNvPr id="5" name="图片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" y="96015"/>
          <a:ext cx="920750" cy="427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2"/>
  <sheetViews>
    <sheetView showGridLines="0" tabSelected="1" zoomScaleSheetLayoutView="100" workbookViewId="0">
      <selection activeCell="B12" sqref="B12:C12"/>
    </sheetView>
  </sheetViews>
  <sheetFormatPr defaultColWidth="11" defaultRowHeight="14.5"/>
  <cols>
    <col min="2" max="2" width="11.453125" customWidth="1"/>
    <col min="3" max="3" width="16.453125" customWidth="1"/>
    <col min="4" max="4" width="12.81640625" hidden="1" customWidth="1"/>
    <col min="5" max="5" width="13" hidden="1" customWidth="1"/>
    <col min="6" max="6" width="15.453125" customWidth="1"/>
    <col min="7" max="7" width="14" customWidth="1"/>
    <col min="8" max="8" width="8.1796875" customWidth="1"/>
    <col min="9" max="9" width="9.453125" hidden="1" customWidth="1"/>
    <col min="10" max="10" width="9.26953125" customWidth="1"/>
    <col min="11" max="11" width="17.453125" customWidth="1"/>
    <col min="12" max="12" width="17.1796875" customWidth="1"/>
    <col min="13" max="14" width="11.453125" hidden="1" customWidth="1"/>
    <col min="15" max="15" width="11" customWidth="1"/>
  </cols>
  <sheetData>
    <row r="1" spans="1:15" ht="21" customHeight="1">
      <c r="A1" s="60" t="s">
        <v>61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>
      <c r="C2" s="48"/>
      <c r="F2" s="55" t="s">
        <v>56</v>
      </c>
    </row>
    <row r="3" spans="1:15">
      <c r="C3" s="52"/>
      <c r="F3" s="55" t="s">
        <v>55</v>
      </c>
    </row>
    <row r="4" spans="1:15" ht="15" thickBot="1"/>
    <row r="5" spans="1:15" ht="24" customHeight="1">
      <c r="B5" s="59" t="s">
        <v>49</v>
      </c>
      <c r="C5" s="59"/>
      <c r="D5" s="59"/>
      <c r="E5" s="59"/>
      <c r="F5" s="59"/>
      <c r="H5" s="64" t="s">
        <v>37</v>
      </c>
      <c r="I5" s="64"/>
      <c r="J5" s="64"/>
      <c r="K5" s="64"/>
      <c r="L5" s="64"/>
      <c r="M5" s="61"/>
      <c r="N5" s="40" t="s">
        <v>43</v>
      </c>
      <c r="O5" s="41"/>
    </row>
    <row r="6" spans="1:15" s="6" customFormat="1" ht="47.25" customHeight="1">
      <c r="B6" s="9" t="s">
        <v>28</v>
      </c>
      <c r="C6" s="9" t="s">
        <v>29</v>
      </c>
      <c r="D6" s="9" t="s">
        <v>31</v>
      </c>
      <c r="E6" s="9" t="s">
        <v>46</v>
      </c>
      <c r="F6" s="43" t="s">
        <v>0</v>
      </c>
      <c r="H6" s="27" t="s">
        <v>38</v>
      </c>
      <c r="I6" s="39" t="s">
        <v>47</v>
      </c>
      <c r="J6" s="27" t="s">
        <v>39</v>
      </c>
      <c r="K6" s="44" t="s">
        <v>47</v>
      </c>
      <c r="L6" s="44" t="s">
        <v>48</v>
      </c>
      <c r="M6" s="62"/>
      <c r="N6" s="9" t="s">
        <v>42</v>
      </c>
    </row>
    <row r="7" spans="1:15" s="1" customFormat="1" ht="15" thickBot="1">
      <c r="B7" s="58">
        <v>20000</v>
      </c>
      <c r="C7" s="42" t="s">
        <v>3</v>
      </c>
      <c r="D7" s="10" t="str">
        <f>VLOOKUP(1,'AQL Table'!B5:K19,HLOOKUP('Sampling Plan Inspection'!C7,'AQL Table'!E3:K6,2))</f>
        <v>M</v>
      </c>
      <c r="E7" s="10">
        <f>VLOOKUP(D7,'AQL Table'!C29:D44,2)</f>
        <v>315</v>
      </c>
      <c r="F7" s="10">
        <f>IF(Acceptable_findings_MJ="+",HLOOKUP(J7,'AQL Table'!C24:P27,4),IF(Acceptable_findings_MJ="++",HLOOKUP(J7,'AQL Table'!C24:P28,5),E7))</f>
        <v>315</v>
      </c>
      <c r="H7" s="42">
        <v>4</v>
      </c>
      <c r="I7" s="10">
        <f>IF(Acceptable_findings_Mn="+",0,IF(Acceptable_findings_Mn="++",1,Acceptable_findings_Mn))</f>
        <v>21</v>
      </c>
      <c r="J7" s="42">
        <v>2.5</v>
      </c>
      <c r="K7" s="10">
        <f>IF(Actual_Minor_Acceptable_Findings="+",0,IF(Actual_Minor_Acceptable_Findings="++",1,Actual_Minor_Acceptable_Findings))</f>
        <v>21</v>
      </c>
      <c r="L7" s="10">
        <f>IF(Acceptable_findings_MJ="+",0,IF(Acceptable_findings_MJ="++",1,Acceptable_findings_MJ))</f>
        <v>14</v>
      </c>
      <c r="M7" s="63"/>
      <c r="N7" s="15" t="str">
        <f>IF(ISNUMBER(Acceptable_findings_MJ)=TRUE,"OK","NOK")</f>
        <v>OK</v>
      </c>
    </row>
    <row r="8" spans="1:15">
      <c r="D8" s="1"/>
      <c r="E8" s="1"/>
      <c r="F8" s="1"/>
    </row>
    <row r="10" spans="1:15" ht="21">
      <c r="B10" s="59" t="s">
        <v>51</v>
      </c>
      <c r="C10" s="59"/>
      <c r="D10" s="59"/>
      <c r="E10" s="59"/>
      <c r="F10" s="59"/>
      <c r="H10" s="64" t="s">
        <v>59</v>
      </c>
      <c r="I10" s="64"/>
      <c r="J10" s="64"/>
      <c r="K10" s="64"/>
      <c r="L10" s="64"/>
    </row>
    <row r="11" spans="1:15" ht="29">
      <c r="B11" s="74" t="s">
        <v>50</v>
      </c>
      <c r="C11" s="74"/>
      <c r="D11" s="49"/>
      <c r="E11" s="49"/>
      <c r="F11" s="9" t="s">
        <v>54</v>
      </c>
      <c r="H11" s="77" t="s">
        <v>52</v>
      </c>
      <c r="I11" s="77"/>
      <c r="J11" s="77"/>
      <c r="K11" s="27" t="s">
        <v>53</v>
      </c>
      <c r="L11" s="44" t="s">
        <v>57</v>
      </c>
    </row>
    <row r="12" spans="1:15" ht="30" customHeight="1">
      <c r="B12" s="75" t="s">
        <v>73</v>
      </c>
      <c r="C12" s="76"/>
      <c r="D12" s="50"/>
      <c r="E12" s="50"/>
      <c r="F12" s="51">
        <v>2</v>
      </c>
      <c r="H12" s="78">
        <f>VLOOKUP(B12,'AQL Table'!C47:O59,11,FALSE)</f>
        <v>5</v>
      </c>
      <c r="I12" s="79"/>
      <c r="J12" s="80"/>
      <c r="K12" s="10">
        <f>VLOOKUP(B12,'AQL Table'!C47:O59,13,FALSE)</f>
        <v>315</v>
      </c>
      <c r="L12" s="10">
        <f>ROUNDUP(MAX(F7/K12,F12/H12),0)</f>
        <v>1</v>
      </c>
    </row>
    <row r="13" spans="1:15">
      <c r="B13" s="65" t="str">
        <f>VLOOKUP(B12,'AQL Table'!C47:O59,5,FALSE)</f>
        <v>For example:
Metal product: kitchenware, cookware, knife
Stationery: pen, pencil, paper or book with pages less than 100  
Porcelain product: kitchenware, teapot, cup</v>
      </c>
      <c r="C13" s="66"/>
      <c r="D13" s="66"/>
      <c r="E13" s="66"/>
      <c r="F13" s="67"/>
      <c r="H13" s="1"/>
      <c r="I13" s="1"/>
      <c r="J13" s="1"/>
      <c r="K13" s="1"/>
      <c r="L13" s="1"/>
    </row>
    <row r="14" spans="1:15">
      <c r="B14" s="68"/>
      <c r="C14" s="69"/>
      <c r="D14" s="69"/>
      <c r="E14" s="69"/>
      <c r="F14" s="70"/>
      <c r="H14" s="1"/>
      <c r="I14" s="1"/>
      <c r="J14" s="1"/>
      <c r="K14" s="1"/>
      <c r="L14" s="1"/>
    </row>
    <row r="15" spans="1:15">
      <c r="B15" s="68"/>
      <c r="C15" s="69"/>
      <c r="D15" s="69"/>
      <c r="E15" s="69"/>
      <c r="F15" s="70"/>
      <c r="H15" s="1"/>
      <c r="I15" s="1"/>
      <c r="J15" s="1"/>
      <c r="K15" s="1"/>
      <c r="L15" s="1"/>
    </row>
    <row r="16" spans="1:15">
      <c r="B16" s="68"/>
      <c r="C16" s="69"/>
      <c r="D16" s="69"/>
      <c r="E16" s="69"/>
      <c r="F16" s="70"/>
      <c r="H16" s="1"/>
      <c r="I16" s="1"/>
      <c r="J16" s="1"/>
      <c r="K16" s="1"/>
      <c r="L16" s="1"/>
    </row>
    <row r="17" spans="2:15">
      <c r="B17" s="68"/>
      <c r="C17" s="69"/>
      <c r="D17" s="69"/>
      <c r="E17" s="69"/>
      <c r="F17" s="70"/>
      <c r="H17" s="1"/>
      <c r="I17" s="1"/>
      <c r="J17" s="1"/>
      <c r="K17" s="1"/>
      <c r="L17" s="1"/>
    </row>
    <row r="18" spans="2:15">
      <c r="B18" s="68"/>
      <c r="C18" s="69"/>
      <c r="D18" s="69"/>
      <c r="E18" s="69"/>
      <c r="F18" s="70"/>
      <c r="H18" s="1"/>
      <c r="I18" s="1"/>
      <c r="J18" s="1"/>
      <c r="K18" s="1"/>
      <c r="L18" s="1"/>
    </row>
    <row r="19" spans="2:15">
      <c r="B19" s="68"/>
      <c r="C19" s="69"/>
      <c r="D19" s="69"/>
      <c r="E19" s="69"/>
      <c r="F19" s="70"/>
      <c r="H19" s="1"/>
      <c r="I19" s="1"/>
      <c r="J19" s="1"/>
      <c r="K19" s="1"/>
      <c r="L19" s="1"/>
    </row>
    <row r="20" spans="2:15">
      <c r="B20" s="68"/>
      <c r="C20" s="69"/>
      <c r="D20" s="69"/>
      <c r="E20" s="69"/>
      <c r="F20" s="70"/>
      <c r="H20" s="1"/>
      <c r="I20" s="1"/>
      <c r="J20" s="1"/>
      <c r="K20" s="1"/>
      <c r="L20" s="1"/>
    </row>
    <row r="21" spans="2:15">
      <c r="B21" s="68"/>
      <c r="C21" s="69"/>
      <c r="D21" s="69"/>
      <c r="E21" s="69"/>
      <c r="F21" s="70"/>
      <c r="H21" s="1"/>
      <c r="I21" s="1"/>
      <c r="J21" s="1"/>
      <c r="K21" s="1"/>
      <c r="L21" s="1"/>
    </row>
    <row r="22" spans="2:15">
      <c r="B22" s="68"/>
      <c r="C22" s="69"/>
      <c r="D22" s="69"/>
      <c r="E22" s="69"/>
      <c r="F22" s="70"/>
      <c r="H22" s="1"/>
      <c r="I22" s="1"/>
      <c r="J22" s="1"/>
      <c r="K22" s="1"/>
      <c r="L22" s="1"/>
    </row>
    <row r="23" spans="2:15">
      <c r="B23" s="68"/>
      <c r="C23" s="69"/>
      <c r="D23" s="69"/>
      <c r="E23" s="69"/>
      <c r="F23" s="70"/>
      <c r="H23" s="1"/>
      <c r="I23" s="1"/>
      <c r="J23" s="1"/>
      <c r="K23" s="1"/>
      <c r="L23" s="1"/>
    </row>
    <row r="24" spans="2:15">
      <c r="B24" s="68"/>
      <c r="C24" s="69"/>
      <c r="D24" s="69"/>
      <c r="E24" s="69"/>
      <c r="F24" s="70"/>
      <c r="H24" s="1"/>
      <c r="I24" s="1"/>
      <c r="J24" s="1"/>
      <c r="K24" s="1"/>
      <c r="L24" s="1"/>
    </row>
    <row r="25" spans="2:15">
      <c r="B25" s="71"/>
      <c r="C25" s="72"/>
      <c r="D25" s="72"/>
      <c r="E25" s="72"/>
      <c r="F25" s="73"/>
      <c r="H25" s="1"/>
      <c r="I25" s="1"/>
      <c r="J25" s="1"/>
      <c r="K25" s="1"/>
      <c r="L25" s="1"/>
    </row>
    <row r="27" spans="2:15">
      <c r="B27" s="54" t="s">
        <v>58</v>
      </c>
      <c r="C27" s="54"/>
    </row>
    <row r="28" spans="2:15">
      <c r="B28" s="54"/>
      <c r="C28" s="54" t="s">
        <v>85</v>
      </c>
    </row>
    <row r="29" spans="2:15">
      <c r="B29" s="54"/>
      <c r="C29" s="54" t="s">
        <v>62</v>
      </c>
    </row>
    <row r="30" spans="2:15">
      <c r="B30" s="54"/>
      <c r="C30" s="54" t="s">
        <v>60</v>
      </c>
    </row>
    <row r="31" spans="2:15">
      <c r="L31" s="57" t="s">
        <v>87</v>
      </c>
    </row>
    <row r="32" spans="2:15">
      <c r="O32" t="s">
        <v>84</v>
      </c>
    </row>
  </sheetData>
  <sheetProtection algorithmName="SHA-512" hashValue="XnZ+aq/Zd2gedNj8CyzN8o2NTEy81N9Xf0SKV6Sv1cSwq1O0qDVkeN+jmdiGs8h+VGmqVNCh3/KAZNmhJJzoPQ==" saltValue="Fz+wUiW3ZtkxAQ4qLR+9ag==" spinCount="100000" sheet="1" selectLockedCells="1" autoFilter="0"/>
  <mergeCells count="11">
    <mergeCell ref="B13:F25"/>
    <mergeCell ref="B11:C11"/>
    <mergeCell ref="B12:C12"/>
    <mergeCell ref="H10:L10"/>
    <mergeCell ref="H11:J11"/>
    <mergeCell ref="H12:J12"/>
    <mergeCell ref="B5:F5"/>
    <mergeCell ref="A1:O1"/>
    <mergeCell ref="M5:M7"/>
    <mergeCell ref="H5:L5"/>
    <mergeCell ref="B10:F10"/>
  </mergeCells>
  <phoneticPr fontId="8" type="noConversion"/>
  <conditionalFormatting sqref="N7">
    <cfRule type="containsText" dxfId="1" priority="1" operator="containsText" text="NOK">
      <formula>NOT(ISERROR(SEARCH("NOK",N7)))</formula>
    </cfRule>
    <cfRule type="containsText" dxfId="0" priority="2" operator="containsText" text="OK">
      <formula>NOT(ISERROR(SEARCH("OK",N7)))</formula>
    </cfRule>
  </conditionalFormatting>
  <dataValidations count="2">
    <dataValidation type="list" allowBlank="1" showInputMessage="1" showErrorMessage="1" sqref="H7 J7" xr:uid="{00000000-0002-0000-0000-000000000000}">
      <formula1>"0.065,0.1,0.15,0.25,0.4,0.65,1.0,1.5,2.5,4,6.5"</formula1>
    </dataValidation>
    <dataValidation type="list" allowBlank="1" showInputMessage="1" showErrorMessage="1" sqref="C7" xr:uid="{00000000-0002-0000-0000-000001000000}">
      <formula1>"I,II,III,S1,S2,S3,S4"</formula1>
    </dataValidation>
  </dataValidations>
  <pageMargins left="0.7" right="0.7" top="0.75" bottom="0.75" header="0.3" footer="0.3"/>
  <pageSetup paperSize="9" scale="97" orientation="landscape" r:id="rId1"/>
  <headerFooter>
    <oddHeader>&amp;CBSourcing Sampling Plan</oddHeader>
    <oddFooter>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'AQL Table'!$C$49:$C$58</xm:f>
          </x14:formula1>
          <xm:sqref>D12:E12</xm:sqref>
        </x14:dataValidation>
        <x14:dataValidation type="list" allowBlank="1" showInputMessage="1" showErrorMessage="1" xr:uid="{00000000-0002-0000-0000-000003000000}">
          <x14:formula1>
            <xm:f>'AQL Table'!$C$48:$C$54</xm:f>
          </x14:formula1>
          <xm:sqref>B12:C12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58"/>
  <sheetViews>
    <sheetView topLeftCell="A57" zoomScale="85" zoomScaleNormal="85" zoomScalePageLayoutView="85" workbookViewId="0">
      <selection activeCell="A56" sqref="A1:XFD56"/>
    </sheetView>
  </sheetViews>
  <sheetFormatPr defaultColWidth="11.453125" defaultRowHeight="14.5"/>
  <cols>
    <col min="1" max="1" width="8.26953125" style="1" customWidth="1"/>
    <col min="2" max="2" width="7.1796875" style="1" customWidth="1"/>
    <col min="3" max="11" width="11.453125" style="1"/>
    <col min="12" max="12" width="10.453125" style="1" customWidth="1"/>
    <col min="13" max="16384" width="11.453125" style="1"/>
  </cols>
  <sheetData>
    <row r="1" spans="1:11" ht="15.5" hidden="1">
      <c r="E1" s="81" t="s">
        <v>27</v>
      </c>
      <c r="F1" s="81"/>
      <c r="G1" s="81"/>
      <c r="H1" s="81"/>
      <c r="I1" s="81"/>
      <c r="J1" s="81"/>
      <c r="K1" s="81"/>
    </row>
    <row r="2" spans="1:11" hidden="1">
      <c r="C2" s="97" t="s">
        <v>6</v>
      </c>
      <c r="D2" s="97"/>
      <c r="E2" s="98" t="s">
        <v>25</v>
      </c>
      <c r="F2" s="98"/>
      <c r="G2" s="98"/>
      <c r="H2" s="98" t="s">
        <v>26</v>
      </c>
      <c r="I2" s="98"/>
      <c r="J2" s="98"/>
      <c r="K2" s="98"/>
    </row>
    <row r="3" spans="1:11" hidden="1">
      <c r="C3" s="82" t="s">
        <v>30</v>
      </c>
      <c r="D3" s="83"/>
      <c r="E3" s="5" t="s">
        <v>1</v>
      </c>
      <c r="F3" s="5" t="s">
        <v>3</v>
      </c>
      <c r="G3" s="5" t="s">
        <v>23</v>
      </c>
      <c r="H3" s="5" t="s">
        <v>2</v>
      </c>
      <c r="I3" s="5" t="s">
        <v>4</v>
      </c>
      <c r="J3" s="5" t="s">
        <v>24</v>
      </c>
      <c r="K3" s="5" t="s">
        <v>5</v>
      </c>
    </row>
    <row r="4" spans="1:11" hidden="1">
      <c r="B4" s="1">
        <v>1</v>
      </c>
      <c r="C4" s="7">
        <v>2</v>
      </c>
      <c r="D4" s="8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</row>
    <row r="5" spans="1:11" hidden="1">
      <c r="A5" s="1">
        <f>C5-'Sampling Plan Inspection'!$B$7</f>
        <v>-19998</v>
      </c>
      <c r="B5" s="1">
        <f>IF(A6&gt;0,1+B3,0)</f>
        <v>0</v>
      </c>
      <c r="C5" s="4">
        <v>2</v>
      </c>
      <c r="D5" s="4">
        <v>8</v>
      </c>
      <c r="E5" s="2" t="s">
        <v>7</v>
      </c>
      <c r="F5" s="2" t="s">
        <v>7</v>
      </c>
      <c r="G5" s="2" t="s">
        <v>8</v>
      </c>
      <c r="H5" s="2" t="s">
        <v>7</v>
      </c>
      <c r="I5" s="2" t="s">
        <v>7</v>
      </c>
      <c r="J5" s="2" t="s">
        <v>7</v>
      </c>
      <c r="K5" s="2" t="s">
        <v>7</v>
      </c>
    </row>
    <row r="6" spans="1:11" hidden="1">
      <c r="A6" s="1">
        <f>C6-'Sampling Plan Inspection'!$B$7</f>
        <v>-19991</v>
      </c>
      <c r="B6" s="1">
        <f t="shared" ref="B6:B19" si="0">IF(A7&gt;0,1+B5,0)</f>
        <v>0</v>
      </c>
      <c r="C6" s="4">
        <v>9</v>
      </c>
      <c r="D6" s="4">
        <v>15</v>
      </c>
      <c r="E6" s="2" t="s">
        <v>7</v>
      </c>
      <c r="F6" s="2" t="s">
        <v>8</v>
      </c>
      <c r="G6" s="2" t="s">
        <v>9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hidden="1">
      <c r="A7" s="1">
        <f>C7-'Sampling Plan Inspection'!$B$7</f>
        <v>-19984</v>
      </c>
      <c r="B7" s="1">
        <f t="shared" si="0"/>
        <v>0</v>
      </c>
      <c r="C7" s="4">
        <v>16</v>
      </c>
      <c r="D7" s="4">
        <v>25</v>
      </c>
      <c r="E7" s="2" t="s">
        <v>8</v>
      </c>
      <c r="F7" s="2" t="s">
        <v>9</v>
      </c>
      <c r="G7" s="2" t="s">
        <v>10</v>
      </c>
      <c r="H7" s="2" t="s">
        <v>7</v>
      </c>
      <c r="I7" s="2" t="s">
        <v>7</v>
      </c>
      <c r="J7" s="2" t="s">
        <v>8</v>
      </c>
      <c r="K7" s="2" t="s">
        <v>8</v>
      </c>
    </row>
    <row r="8" spans="1:11" hidden="1">
      <c r="A8" s="1">
        <f>C8-'Sampling Plan Inspection'!$B$7</f>
        <v>-19974</v>
      </c>
      <c r="B8" s="1">
        <f t="shared" si="0"/>
        <v>0</v>
      </c>
      <c r="C8" s="4">
        <v>26</v>
      </c>
      <c r="D8" s="4">
        <v>50</v>
      </c>
      <c r="E8" s="2" t="s">
        <v>9</v>
      </c>
      <c r="F8" s="2" t="s">
        <v>10</v>
      </c>
      <c r="G8" s="2" t="s">
        <v>11</v>
      </c>
      <c r="H8" s="2" t="s">
        <v>7</v>
      </c>
      <c r="I8" s="2" t="s">
        <v>8</v>
      </c>
      <c r="J8" s="2" t="s">
        <v>8</v>
      </c>
      <c r="K8" s="2" t="s">
        <v>9</v>
      </c>
    </row>
    <row r="9" spans="1:11" hidden="1">
      <c r="A9" s="1">
        <f>C9-'Sampling Plan Inspection'!$B$7</f>
        <v>-19949</v>
      </c>
      <c r="B9" s="1">
        <f t="shared" si="0"/>
        <v>0</v>
      </c>
      <c r="C9" s="4">
        <v>51</v>
      </c>
      <c r="D9" s="4">
        <v>90</v>
      </c>
      <c r="E9" s="2" t="s">
        <v>9</v>
      </c>
      <c r="F9" s="2" t="s">
        <v>11</v>
      </c>
      <c r="G9" s="2" t="s">
        <v>12</v>
      </c>
      <c r="H9" s="2" t="s">
        <v>8</v>
      </c>
      <c r="I9" s="2" t="s">
        <v>8</v>
      </c>
      <c r="J9" s="2" t="s">
        <v>9</v>
      </c>
      <c r="K9" s="2" t="s">
        <v>9</v>
      </c>
    </row>
    <row r="10" spans="1:11" hidden="1">
      <c r="A10" s="1">
        <f>C10-'Sampling Plan Inspection'!$B$7</f>
        <v>-19909</v>
      </c>
      <c r="B10" s="1">
        <f t="shared" si="0"/>
        <v>0</v>
      </c>
      <c r="C10" s="4">
        <v>91</v>
      </c>
      <c r="D10" s="4">
        <v>150</v>
      </c>
      <c r="E10" s="2" t="s">
        <v>10</v>
      </c>
      <c r="F10" s="2" t="s">
        <v>12</v>
      </c>
      <c r="G10" s="2" t="s">
        <v>13</v>
      </c>
      <c r="H10" s="2" t="s">
        <v>8</v>
      </c>
      <c r="I10" s="2" t="s">
        <v>8</v>
      </c>
      <c r="J10" s="2" t="s">
        <v>9</v>
      </c>
      <c r="K10" s="2" t="s">
        <v>10</v>
      </c>
    </row>
    <row r="11" spans="1:11" hidden="1">
      <c r="A11" s="1">
        <f>C11-'Sampling Plan Inspection'!$B$7</f>
        <v>-19849</v>
      </c>
      <c r="B11" s="1">
        <f t="shared" si="0"/>
        <v>0</v>
      </c>
      <c r="C11" s="4">
        <v>151</v>
      </c>
      <c r="D11" s="4">
        <v>280</v>
      </c>
      <c r="E11" s="2" t="s">
        <v>11</v>
      </c>
      <c r="F11" s="2" t="s">
        <v>13</v>
      </c>
      <c r="G11" s="2" t="s">
        <v>14</v>
      </c>
      <c r="H11" s="2" t="s">
        <v>8</v>
      </c>
      <c r="I11" s="2" t="s">
        <v>9</v>
      </c>
      <c r="J11" s="2" t="s">
        <v>10</v>
      </c>
      <c r="K11" s="2" t="s">
        <v>11</v>
      </c>
    </row>
    <row r="12" spans="1:11" hidden="1">
      <c r="A12" s="1">
        <f>C12-'Sampling Plan Inspection'!$B$7</f>
        <v>-19719</v>
      </c>
      <c r="B12" s="1">
        <f t="shared" si="0"/>
        <v>0</v>
      </c>
      <c r="C12" s="4">
        <v>281</v>
      </c>
      <c r="D12" s="4">
        <v>500</v>
      </c>
      <c r="E12" s="2" t="s">
        <v>12</v>
      </c>
      <c r="F12" s="2" t="s">
        <v>14</v>
      </c>
      <c r="G12" s="2" t="s">
        <v>15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idden="1">
      <c r="A13" s="1">
        <f>C13-'Sampling Plan Inspection'!$B$7</f>
        <v>-19499</v>
      </c>
      <c r="B13" s="1">
        <f t="shared" si="0"/>
        <v>0</v>
      </c>
      <c r="C13" s="4">
        <v>501</v>
      </c>
      <c r="D13" s="4">
        <v>1200</v>
      </c>
      <c r="E13" s="2" t="s">
        <v>13</v>
      </c>
      <c r="F13" s="2" t="s">
        <v>15</v>
      </c>
      <c r="G13" s="2" t="s">
        <v>16</v>
      </c>
      <c r="H13" s="2" t="s">
        <v>9</v>
      </c>
      <c r="I13" s="2" t="s">
        <v>9</v>
      </c>
      <c r="J13" s="2" t="s">
        <v>11</v>
      </c>
      <c r="K13" s="2" t="s">
        <v>12</v>
      </c>
    </row>
    <row r="14" spans="1:11" hidden="1">
      <c r="A14" s="1">
        <f>C14-'Sampling Plan Inspection'!$B$7</f>
        <v>-18799</v>
      </c>
      <c r="B14" s="1">
        <f t="shared" si="0"/>
        <v>0</v>
      </c>
      <c r="C14" s="4">
        <v>1201</v>
      </c>
      <c r="D14" s="4">
        <v>3200</v>
      </c>
      <c r="E14" s="2" t="s">
        <v>14</v>
      </c>
      <c r="F14" s="2" t="s">
        <v>16</v>
      </c>
      <c r="G14" s="2" t="s">
        <v>17</v>
      </c>
      <c r="H14" s="2" t="s">
        <v>9</v>
      </c>
      <c r="I14" s="2" t="s">
        <v>10</v>
      </c>
      <c r="J14" s="2" t="s">
        <v>11</v>
      </c>
      <c r="K14" s="2" t="s">
        <v>13</v>
      </c>
    </row>
    <row r="15" spans="1:11" hidden="1">
      <c r="A15" s="1">
        <f>C15-'Sampling Plan Inspection'!$B$7</f>
        <v>-16799</v>
      </c>
      <c r="B15" s="1">
        <f t="shared" si="0"/>
        <v>0</v>
      </c>
      <c r="C15" s="4">
        <v>3201</v>
      </c>
      <c r="D15" s="4">
        <v>10000</v>
      </c>
      <c r="E15" s="2" t="s">
        <v>15</v>
      </c>
      <c r="F15" s="2" t="s">
        <v>17</v>
      </c>
      <c r="G15" s="2" t="s">
        <v>18</v>
      </c>
      <c r="H15" s="2" t="s">
        <v>9</v>
      </c>
      <c r="I15" s="2" t="s">
        <v>10</v>
      </c>
      <c r="J15" s="2" t="s">
        <v>12</v>
      </c>
      <c r="K15" s="2" t="s">
        <v>13</v>
      </c>
    </row>
    <row r="16" spans="1:11" hidden="1">
      <c r="A16" s="1">
        <f>C16-'Sampling Plan Inspection'!$B$7</f>
        <v>-9999</v>
      </c>
      <c r="B16" s="1">
        <f t="shared" si="0"/>
        <v>1</v>
      </c>
      <c r="C16" s="4">
        <v>10001</v>
      </c>
      <c r="D16" s="4">
        <v>35000</v>
      </c>
      <c r="E16" s="2" t="s">
        <v>16</v>
      </c>
      <c r="F16" s="2" t="s">
        <v>18</v>
      </c>
      <c r="G16" s="2" t="s">
        <v>19</v>
      </c>
      <c r="H16" s="2" t="s">
        <v>9</v>
      </c>
      <c r="I16" s="2" t="s">
        <v>10</v>
      </c>
      <c r="J16" s="2" t="s">
        <v>12</v>
      </c>
      <c r="K16" s="2" t="s">
        <v>14</v>
      </c>
    </row>
    <row r="17" spans="1:16" hidden="1">
      <c r="A17" s="1">
        <f>C17-'Sampling Plan Inspection'!$B$7</f>
        <v>15001</v>
      </c>
      <c r="B17" s="1">
        <f t="shared" si="0"/>
        <v>2</v>
      </c>
      <c r="C17" s="4">
        <v>35001</v>
      </c>
      <c r="D17" s="4">
        <v>150000</v>
      </c>
      <c r="E17" s="2" t="s">
        <v>17</v>
      </c>
      <c r="F17" s="2" t="s">
        <v>19</v>
      </c>
      <c r="G17" s="2" t="s">
        <v>20</v>
      </c>
      <c r="H17" s="2" t="s">
        <v>10</v>
      </c>
      <c r="I17" s="2" t="s">
        <v>11</v>
      </c>
      <c r="J17" s="2" t="s">
        <v>13</v>
      </c>
      <c r="K17" s="2" t="s">
        <v>15</v>
      </c>
    </row>
    <row r="18" spans="1:16" hidden="1">
      <c r="A18" s="1">
        <f>C18-'Sampling Plan Inspection'!$B$7</f>
        <v>130001</v>
      </c>
      <c r="B18" s="1">
        <f t="shared" si="0"/>
        <v>3</v>
      </c>
      <c r="C18" s="4">
        <v>150001</v>
      </c>
      <c r="D18" s="4">
        <v>500000</v>
      </c>
      <c r="E18" s="2" t="s">
        <v>18</v>
      </c>
      <c r="F18" s="2" t="s">
        <v>20</v>
      </c>
      <c r="G18" s="2" t="s">
        <v>21</v>
      </c>
      <c r="H18" s="2" t="s">
        <v>10</v>
      </c>
      <c r="I18" s="2" t="s">
        <v>11</v>
      </c>
      <c r="J18" s="2" t="s">
        <v>13</v>
      </c>
      <c r="K18" s="2" t="s">
        <v>15</v>
      </c>
    </row>
    <row r="19" spans="1:16" hidden="1">
      <c r="A19" s="1">
        <f>C19-'Sampling Plan Inspection'!$B$7</f>
        <v>480001</v>
      </c>
      <c r="B19" s="1">
        <f t="shared" si="0"/>
        <v>4</v>
      </c>
      <c r="C19" s="4">
        <v>500001</v>
      </c>
      <c r="D19" s="4">
        <v>1000000000</v>
      </c>
      <c r="E19" s="2" t="s">
        <v>19</v>
      </c>
      <c r="F19" s="2" t="s">
        <v>21</v>
      </c>
      <c r="G19" s="2" t="s">
        <v>22</v>
      </c>
      <c r="H19" s="2" t="s">
        <v>10</v>
      </c>
      <c r="I19" s="2" t="s">
        <v>11</v>
      </c>
      <c r="J19" s="2" t="s">
        <v>14</v>
      </c>
      <c r="K19" s="2" t="s">
        <v>16</v>
      </c>
    </row>
    <row r="20" spans="1:16" hidden="1">
      <c r="A20" s="1">
        <f>D19-'Sampling Plan Inspection'!$B$7</f>
        <v>999980000</v>
      </c>
    </row>
    <row r="21" spans="1:16" ht="15" hidden="1" thickBot="1"/>
    <row r="22" spans="1:16" ht="15" hidden="1" thickBot="1">
      <c r="E22" s="88" t="s">
        <v>35</v>
      </c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6" ht="45" hidden="1" customHeight="1">
      <c r="C23" s="91" t="s">
        <v>32</v>
      </c>
      <c r="D23" s="94" t="s">
        <v>33</v>
      </c>
      <c r="E23" s="86" t="s">
        <v>34</v>
      </c>
      <c r="F23" s="86"/>
      <c r="G23" s="86"/>
      <c r="H23" s="86"/>
      <c r="I23" s="86"/>
      <c r="J23" s="86"/>
      <c r="K23" s="86"/>
      <c r="L23" s="86"/>
      <c r="M23" s="86"/>
      <c r="N23" s="86"/>
      <c r="O23" s="87"/>
    </row>
    <row r="24" spans="1:16" hidden="1">
      <c r="C24" s="92"/>
      <c r="D24" s="95"/>
      <c r="E24" s="11">
        <v>6.5000000000000002E-2</v>
      </c>
      <c r="F24" s="11">
        <v>0.1</v>
      </c>
      <c r="G24" s="11">
        <v>0.15</v>
      </c>
      <c r="H24" s="11">
        <v>0.25</v>
      </c>
      <c r="I24" s="11">
        <v>0.4</v>
      </c>
      <c r="J24" s="11">
        <v>0.65</v>
      </c>
      <c r="K24" s="11">
        <v>1</v>
      </c>
      <c r="L24" s="11">
        <v>1.5</v>
      </c>
      <c r="M24" s="11">
        <v>2.5</v>
      </c>
      <c r="N24" s="11">
        <v>4</v>
      </c>
      <c r="O24" s="45">
        <v>6.5</v>
      </c>
    </row>
    <row r="25" spans="1:16" ht="29.5" hidden="1" thickBot="1">
      <c r="C25" s="93"/>
      <c r="D25" s="96"/>
      <c r="E25" s="16" t="s">
        <v>36</v>
      </c>
      <c r="F25" s="16" t="s">
        <v>36</v>
      </c>
      <c r="G25" s="16" t="s">
        <v>36</v>
      </c>
      <c r="H25" s="16" t="s">
        <v>36</v>
      </c>
      <c r="I25" s="16" t="s">
        <v>36</v>
      </c>
      <c r="J25" s="16" t="s">
        <v>36</v>
      </c>
      <c r="K25" s="16" t="s">
        <v>36</v>
      </c>
      <c r="L25" s="16" t="s">
        <v>36</v>
      </c>
      <c r="M25" s="16" t="s">
        <v>36</v>
      </c>
      <c r="N25" s="16" t="s">
        <v>36</v>
      </c>
      <c r="O25" s="19" t="s">
        <v>36</v>
      </c>
    </row>
    <row r="26" spans="1:16" hidden="1">
      <c r="C26" s="32">
        <v>1</v>
      </c>
      <c r="D26" s="33">
        <v>2</v>
      </c>
      <c r="E26" s="34">
        <v>3</v>
      </c>
      <c r="F26" s="34">
        <v>4</v>
      </c>
      <c r="G26" s="34">
        <v>5</v>
      </c>
      <c r="H26" s="34">
        <v>6</v>
      </c>
      <c r="I26" s="34">
        <v>7</v>
      </c>
      <c r="J26" s="34">
        <v>8</v>
      </c>
      <c r="K26" s="34">
        <v>9</v>
      </c>
      <c r="L26" s="34">
        <v>10</v>
      </c>
      <c r="M26" s="34">
        <v>11</v>
      </c>
      <c r="N26" s="34">
        <v>12</v>
      </c>
      <c r="O26" s="35">
        <v>13</v>
      </c>
      <c r="P26" s="36"/>
    </row>
    <row r="27" spans="1:16" hidden="1">
      <c r="C27" s="84" t="s">
        <v>44</v>
      </c>
      <c r="D27" s="85"/>
      <c r="E27" s="37">
        <v>200</v>
      </c>
      <c r="F27" s="37">
        <v>125</v>
      </c>
      <c r="G27" s="37">
        <v>80</v>
      </c>
      <c r="H27" s="37">
        <v>50</v>
      </c>
      <c r="I27" s="37">
        <v>32</v>
      </c>
      <c r="J27" s="37">
        <v>20</v>
      </c>
      <c r="K27" s="37">
        <v>13</v>
      </c>
      <c r="L27" s="37">
        <v>8</v>
      </c>
      <c r="M27" s="37">
        <v>5</v>
      </c>
      <c r="N27" s="37">
        <v>3</v>
      </c>
      <c r="O27" s="37">
        <v>2</v>
      </c>
      <c r="P27" s="36"/>
    </row>
    <row r="28" spans="1:16" hidden="1">
      <c r="C28" s="84" t="s">
        <v>45</v>
      </c>
      <c r="D28" s="85"/>
      <c r="E28" s="37">
        <v>800</v>
      </c>
      <c r="F28" s="37">
        <v>500</v>
      </c>
      <c r="G28" s="37">
        <v>315</v>
      </c>
      <c r="H28" s="37">
        <v>200</v>
      </c>
      <c r="I28" s="37">
        <v>125</v>
      </c>
      <c r="J28" s="37">
        <v>80</v>
      </c>
      <c r="K28" s="37">
        <v>50</v>
      </c>
      <c r="L28" s="37">
        <v>32</v>
      </c>
      <c r="M28" s="37">
        <v>20</v>
      </c>
      <c r="N28" s="37">
        <v>13</v>
      </c>
      <c r="O28" s="38">
        <v>8</v>
      </c>
      <c r="P28" s="36"/>
    </row>
    <row r="29" spans="1:16" hidden="1">
      <c r="B29" s="1">
        <v>1</v>
      </c>
      <c r="C29" s="20" t="s">
        <v>7</v>
      </c>
      <c r="D29" s="4">
        <v>2</v>
      </c>
      <c r="E29" s="28" t="s">
        <v>40</v>
      </c>
      <c r="F29" s="28" t="s">
        <v>40</v>
      </c>
      <c r="G29" s="28" t="s">
        <v>40</v>
      </c>
      <c r="H29" s="28" t="s">
        <v>40</v>
      </c>
      <c r="I29" s="28" t="s">
        <v>40</v>
      </c>
      <c r="J29" s="28" t="s">
        <v>40</v>
      </c>
      <c r="K29" s="28" t="s">
        <v>40</v>
      </c>
      <c r="L29" s="28" t="s">
        <v>40</v>
      </c>
      <c r="M29" s="28" t="s">
        <v>40</v>
      </c>
      <c r="N29" s="28" t="s">
        <v>40</v>
      </c>
      <c r="O29" s="3">
        <v>0</v>
      </c>
    </row>
    <row r="30" spans="1:16" hidden="1">
      <c r="B30" s="1">
        <v>2</v>
      </c>
      <c r="C30" s="20" t="s">
        <v>8</v>
      </c>
      <c r="D30" s="4">
        <v>3</v>
      </c>
      <c r="E30" s="28" t="s">
        <v>40</v>
      </c>
      <c r="F30" s="28" t="s">
        <v>40</v>
      </c>
      <c r="G30" s="28" t="s">
        <v>40</v>
      </c>
      <c r="H30" s="28" t="s">
        <v>40</v>
      </c>
      <c r="I30" s="28" t="s">
        <v>40</v>
      </c>
      <c r="J30" s="28" t="s">
        <v>40</v>
      </c>
      <c r="K30" s="28" t="s">
        <v>40</v>
      </c>
      <c r="L30" s="28" t="s">
        <v>40</v>
      </c>
      <c r="M30" s="28" t="s">
        <v>40</v>
      </c>
      <c r="N30" s="2">
        <v>0</v>
      </c>
      <c r="O30" s="3">
        <v>0</v>
      </c>
    </row>
    <row r="31" spans="1:16" ht="15" hidden="1" thickBot="1">
      <c r="B31" s="1">
        <v>3</v>
      </c>
      <c r="C31" s="21" t="s">
        <v>9</v>
      </c>
      <c r="D31" s="14">
        <v>5</v>
      </c>
      <c r="E31" s="30" t="s">
        <v>40</v>
      </c>
      <c r="F31" s="30" t="s">
        <v>40</v>
      </c>
      <c r="G31" s="30" t="s">
        <v>40</v>
      </c>
      <c r="H31" s="30" t="s">
        <v>40</v>
      </c>
      <c r="I31" s="30" t="s">
        <v>40</v>
      </c>
      <c r="J31" s="30" t="s">
        <v>40</v>
      </c>
      <c r="K31" s="30" t="s">
        <v>40</v>
      </c>
      <c r="L31" s="30" t="s">
        <v>40</v>
      </c>
      <c r="M31" s="15">
        <v>0</v>
      </c>
      <c r="N31" s="15">
        <v>0</v>
      </c>
      <c r="O31" s="31" t="s">
        <v>41</v>
      </c>
    </row>
    <row r="32" spans="1:16" hidden="1">
      <c r="B32" s="1">
        <v>4</v>
      </c>
      <c r="C32" s="23" t="s">
        <v>10</v>
      </c>
      <c r="D32" s="12">
        <v>8</v>
      </c>
      <c r="E32" s="29" t="s">
        <v>40</v>
      </c>
      <c r="F32" s="29" t="s">
        <v>40</v>
      </c>
      <c r="G32" s="29" t="s">
        <v>40</v>
      </c>
      <c r="H32" s="29" t="s">
        <v>40</v>
      </c>
      <c r="I32" s="29" t="s">
        <v>40</v>
      </c>
      <c r="J32" s="29" t="s">
        <v>40</v>
      </c>
      <c r="K32" s="29" t="s">
        <v>40</v>
      </c>
      <c r="L32" s="13">
        <v>0</v>
      </c>
      <c r="M32" s="13">
        <v>0</v>
      </c>
      <c r="N32" s="29" t="s">
        <v>41</v>
      </c>
      <c r="O32" s="24">
        <v>1</v>
      </c>
    </row>
    <row r="33" spans="2:15" hidden="1">
      <c r="B33" s="1">
        <v>5</v>
      </c>
      <c r="C33" s="20" t="s">
        <v>11</v>
      </c>
      <c r="D33" s="4">
        <v>13</v>
      </c>
      <c r="E33" s="28" t="s">
        <v>40</v>
      </c>
      <c r="F33" s="28" t="s">
        <v>40</v>
      </c>
      <c r="G33" s="28" t="s">
        <v>40</v>
      </c>
      <c r="H33" s="28" t="s">
        <v>40</v>
      </c>
      <c r="I33" s="28" t="s">
        <v>40</v>
      </c>
      <c r="J33" s="28" t="s">
        <v>40</v>
      </c>
      <c r="K33" s="2">
        <v>0</v>
      </c>
      <c r="L33" s="2">
        <v>0</v>
      </c>
      <c r="M33" s="29" t="s">
        <v>41</v>
      </c>
      <c r="N33" s="2">
        <v>1</v>
      </c>
      <c r="O33" s="3">
        <v>2</v>
      </c>
    </row>
    <row r="34" spans="2:15" ht="15" hidden="1" thickBot="1">
      <c r="B34" s="1">
        <v>6</v>
      </c>
      <c r="C34" s="21" t="s">
        <v>12</v>
      </c>
      <c r="D34" s="14">
        <v>20</v>
      </c>
      <c r="E34" s="30" t="s">
        <v>40</v>
      </c>
      <c r="F34" s="30" t="s">
        <v>40</v>
      </c>
      <c r="G34" s="30" t="s">
        <v>40</v>
      </c>
      <c r="H34" s="30" t="s">
        <v>40</v>
      </c>
      <c r="I34" s="30" t="s">
        <v>40</v>
      </c>
      <c r="J34" s="15">
        <v>0</v>
      </c>
      <c r="K34" s="15">
        <v>0</v>
      </c>
      <c r="L34" s="31" t="s">
        <v>41</v>
      </c>
      <c r="M34" s="15">
        <v>1</v>
      </c>
      <c r="N34" s="15">
        <v>2</v>
      </c>
      <c r="O34" s="22">
        <v>3</v>
      </c>
    </row>
    <row r="35" spans="2:15" hidden="1">
      <c r="B35" s="1">
        <v>7</v>
      </c>
      <c r="C35" s="23" t="s">
        <v>13</v>
      </c>
      <c r="D35" s="12">
        <v>32</v>
      </c>
      <c r="E35" s="29" t="s">
        <v>40</v>
      </c>
      <c r="F35" s="29" t="s">
        <v>40</v>
      </c>
      <c r="G35" s="29" t="s">
        <v>40</v>
      </c>
      <c r="H35" s="29" t="s">
        <v>40</v>
      </c>
      <c r="I35" s="13">
        <v>0</v>
      </c>
      <c r="J35" s="13">
        <v>0</v>
      </c>
      <c r="K35" s="29" t="s">
        <v>41</v>
      </c>
      <c r="L35" s="13">
        <v>1</v>
      </c>
      <c r="M35" s="13">
        <v>2</v>
      </c>
      <c r="N35" s="13">
        <v>3</v>
      </c>
      <c r="O35" s="24">
        <v>5</v>
      </c>
    </row>
    <row r="36" spans="2:15" hidden="1">
      <c r="B36" s="1">
        <v>8</v>
      </c>
      <c r="C36" s="20" t="s">
        <v>14</v>
      </c>
      <c r="D36" s="4">
        <v>50</v>
      </c>
      <c r="E36" s="28" t="s">
        <v>40</v>
      </c>
      <c r="F36" s="28" t="s">
        <v>40</v>
      </c>
      <c r="G36" s="28" t="s">
        <v>40</v>
      </c>
      <c r="H36" s="2">
        <v>0</v>
      </c>
      <c r="I36" s="2">
        <v>0</v>
      </c>
      <c r="J36" s="29" t="s">
        <v>41</v>
      </c>
      <c r="K36" s="2">
        <v>1</v>
      </c>
      <c r="L36" s="2">
        <v>2</v>
      </c>
      <c r="M36" s="2">
        <v>3</v>
      </c>
      <c r="N36" s="2">
        <v>5</v>
      </c>
      <c r="O36" s="3">
        <v>7</v>
      </c>
    </row>
    <row r="37" spans="2:15" ht="15" hidden="1" thickBot="1">
      <c r="B37" s="1">
        <v>9</v>
      </c>
      <c r="C37" s="21" t="s">
        <v>15</v>
      </c>
      <c r="D37" s="14">
        <v>80</v>
      </c>
      <c r="E37" s="30" t="s">
        <v>40</v>
      </c>
      <c r="F37" s="30" t="s">
        <v>40</v>
      </c>
      <c r="G37" s="15">
        <v>0</v>
      </c>
      <c r="H37" s="15">
        <v>0</v>
      </c>
      <c r="I37" s="31" t="s">
        <v>41</v>
      </c>
      <c r="J37" s="15">
        <v>1</v>
      </c>
      <c r="K37" s="15">
        <v>2</v>
      </c>
      <c r="L37" s="15">
        <v>3</v>
      </c>
      <c r="M37" s="15">
        <v>5</v>
      </c>
      <c r="N37" s="15">
        <v>7</v>
      </c>
      <c r="O37" s="22">
        <v>10</v>
      </c>
    </row>
    <row r="38" spans="2:15" hidden="1">
      <c r="B38" s="1">
        <v>10</v>
      </c>
      <c r="C38" s="23" t="s">
        <v>16</v>
      </c>
      <c r="D38" s="12">
        <v>125</v>
      </c>
      <c r="E38" s="29" t="s">
        <v>40</v>
      </c>
      <c r="F38" s="13">
        <v>0</v>
      </c>
      <c r="G38" s="13">
        <v>0</v>
      </c>
      <c r="H38" s="29" t="s">
        <v>41</v>
      </c>
      <c r="I38" s="13">
        <v>1</v>
      </c>
      <c r="J38" s="13">
        <v>2</v>
      </c>
      <c r="K38" s="13">
        <v>3</v>
      </c>
      <c r="L38" s="13">
        <v>5</v>
      </c>
      <c r="M38" s="13">
        <v>7</v>
      </c>
      <c r="N38" s="13">
        <v>10</v>
      </c>
      <c r="O38" s="24">
        <v>14</v>
      </c>
    </row>
    <row r="39" spans="2:15" hidden="1">
      <c r="B39" s="1">
        <v>11</v>
      </c>
      <c r="C39" s="20" t="s">
        <v>17</v>
      </c>
      <c r="D39" s="4">
        <v>200</v>
      </c>
      <c r="E39" s="2">
        <v>0</v>
      </c>
      <c r="F39" s="2">
        <v>0</v>
      </c>
      <c r="G39" s="29" t="s">
        <v>41</v>
      </c>
      <c r="H39" s="2">
        <v>1</v>
      </c>
      <c r="I39" s="2">
        <v>2</v>
      </c>
      <c r="J39" s="2">
        <v>3</v>
      </c>
      <c r="K39" s="2">
        <v>5</v>
      </c>
      <c r="L39" s="2">
        <v>7</v>
      </c>
      <c r="M39" s="2">
        <v>10</v>
      </c>
      <c r="N39" s="2">
        <v>14</v>
      </c>
      <c r="O39" s="3">
        <v>21</v>
      </c>
    </row>
    <row r="40" spans="2:15" ht="15" hidden="1" thickBot="1">
      <c r="B40" s="1">
        <v>12</v>
      </c>
      <c r="C40" s="21" t="s">
        <v>18</v>
      </c>
      <c r="D40" s="14">
        <v>315</v>
      </c>
      <c r="E40" s="15">
        <v>0</v>
      </c>
      <c r="F40" s="31" t="s">
        <v>41</v>
      </c>
      <c r="G40" s="15">
        <v>1</v>
      </c>
      <c r="H40" s="15">
        <v>2</v>
      </c>
      <c r="I40" s="15">
        <v>3</v>
      </c>
      <c r="J40" s="15">
        <v>5</v>
      </c>
      <c r="K40" s="15">
        <v>7</v>
      </c>
      <c r="L40" s="15">
        <v>10</v>
      </c>
      <c r="M40" s="15">
        <v>14</v>
      </c>
      <c r="N40" s="15">
        <v>21</v>
      </c>
      <c r="O40" s="22">
        <v>21</v>
      </c>
    </row>
    <row r="41" spans="2:15" hidden="1">
      <c r="B41" s="1">
        <v>13</v>
      </c>
      <c r="C41" s="23" t="s">
        <v>19</v>
      </c>
      <c r="D41" s="12">
        <v>500</v>
      </c>
      <c r="E41" s="29" t="s">
        <v>41</v>
      </c>
      <c r="F41" s="13">
        <v>1</v>
      </c>
      <c r="G41" s="13">
        <v>2</v>
      </c>
      <c r="H41" s="13">
        <v>3</v>
      </c>
      <c r="I41" s="13">
        <v>5</v>
      </c>
      <c r="J41" s="13">
        <v>7</v>
      </c>
      <c r="K41" s="13">
        <v>10</v>
      </c>
      <c r="L41" s="13">
        <v>14</v>
      </c>
      <c r="M41" s="13">
        <v>21</v>
      </c>
      <c r="N41" s="13">
        <v>21</v>
      </c>
      <c r="O41" s="24">
        <v>21</v>
      </c>
    </row>
    <row r="42" spans="2:15" hidden="1">
      <c r="B42" s="1">
        <v>14</v>
      </c>
      <c r="C42" s="20" t="s">
        <v>20</v>
      </c>
      <c r="D42" s="4">
        <v>800</v>
      </c>
      <c r="E42" s="2">
        <v>1</v>
      </c>
      <c r="F42" s="2">
        <v>2</v>
      </c>
      <c r="G42" s="2">
        <v>3</v>
      </c>
      <c r="H42" s="2">
        <v>5</v>
      </c>
      <c r="I42" s="2">
        <v>7</v>
      </c>
      <c r="J42" s="2">
        <v>10</v>
      </c>
      <c r="K42" s="2">
        <v>14</v>
      </c>
      <c r="L42" s="2">
        <v>21</v>
      </c>
      <c r="M42" s="2">
        <v>21</v>
      </c>
      <c r="N42" s="2">
        <v>21</v>
      </c>
      <c r="O42" s="3">
        <v>21</v>
      </c>
    </row>
    <row r="43" spans="2:15" ht="15" hidden="1" thickBot="1">
      <c r="B43" s="1">
        <v>15</v>
      </c>
      <c r="C43" s="21" t="s">
        <v>21</v>
      </c>
      <c r="D43" s="14">
        <v>1250</v>
      </c>
      <c r="E43" s="15">
        <v>2</v>
      </c>
      <c r="F43" s="15">
        <v>3</v>
      </c>
      <c r="G43" s="15">
        <v>5</v>
      </c>
      <c r="H43" s="15">
        <v>7</v>
      </c>
      <c r="I43" s="15">
        <v>10</v>
      </c>
      <c r="J43" s="15">
        <v>14</v>
      </c>
      <c r="K43" s="15">
        <v>21</v>
      </c>
      <c r="L43" s="15">
        <v>21</v>
      </c>
      <c r="M43" s="15">
        <v>21</v>
      </c>
      <c r="N43" s="15">
        <v>21</v>
      </c>
      <c r="O43" s="22">
        <v>21</v>
      </c>
    </row>
    <row r="44" spans="2:15" ht="15" hidden="1" thickBot="1">
      <c r="B44" s="1">
        <v>16</v>
      </c>
      <c r="C44" s="25" t="s">
        <v>22</v>
      </c>
      <c r="D44" s="17">
        <v>2000</v>
      </c>
      <c r="E44" s="18">
        <v>3</v>
      </c>
      <c r="F44" s="18">
        <v>5</v>
      </c>
      <c r="G44" s="18">
        <v>7</v>
      </c>
      <c r="H44" s="18">
        <v>10</v>
      </c>
      <c r="I44" s="18">
        <v>14</v>
      </c>
      <c r="J44" s="18">
        <v>21</v>
      </c>
      <c r="K44" s="18">
        <v>21</v>
      </c>
      <c r="L44" s="18">
        <v>21</v>
      </c>
      <c r="M44" s="18">
        <v>21</v>
      </c>
      <c r="N44" s="18">
        <v>21</v>
      </c>
      <c r="O44" s="26">
        <v>21</v>
      </c>
    </row>
    <row r="45" spans="2:15" hidden="1"/>
    <row r="46" spans="2:15" hidden="1"/>
    <row r="47" spans="2:15" hidden="1">
      <c r="C47" s="47" t="s">
        <v>50</v>
      </c>
      <c r="G47" s="47" t="s">
        <v>66</v>
      </c>
      <c r="M47" s="47" t="s">
        <v>52</v>
      </c>
      <c r="N47" s="53"/>
      <c r="O47" s="47" t="s">
        <v>53</v>
      </c>
    </row>
    <row r="48" spans="2:15" ht="70.5" hidden="1" customHeight="1">
      <c r="C48" s="56" t="s">
        <v>73</v>
      </c>
      <c r="G48" s="99" t="s">
        <v>74</v>
      </c>
      <c r="H48" s="99"/>
      <c r="I48" s="99"/>
      <c r="J48" s="99"/>
      <c r="K48" s="99"/>
      <c r="L48" s="99"/>
      <c r="M48" s="1">
        <v>5</v>
      </c>
      <c r="O48" s="1">
        <v>315</v>
      </c>
    </row>
    <row r="49" spans="3:15" ht="56.25" hidden="1" customHeight="1">
      <c r="C49" s="56" t="s">
        <v>63</v>
      </c>
      <c r="G49" s="99" t="s">
        <v>75</v>
      </c>
      <c r="H49" s="99"/>
      <c r="I49" s="99"/>
      <c r="J49" s="99"/>
      <c r="K49" s="99"/>
      <c r="L49" s="99"/>
      <c r="M49" s="1">
        <v>5</v>
      </c>
      <c r="O49" s="1">
        <v>200</v>
      </c>
    </row>
    <row r="50" spans="3:15" ht="37.5" hidden="1" customHeight="1">
      <c r="C50" s="56" t="s">
        <v>69</v>
      </c>
      <c r="G50" s="99" t="s">
        <v>70</v>
      </c>
      <c r="H50" s="99"/>
      <c r="I50" s="99"/>
      <c r="J50" s="99"/>
      <c r="K50" s="99"/>
      <c r="L50" s="99"/>
      <c r="M50" s="1">
        <v>4</v>
      </c>
      <c r="O50" s="1">
        <v>200</v>
      </c>
    </row>
    <row r="51" spans="3:15" ht="55.5" hidden="1" customHeight="1">
      <c r="C51" s="56" t="s">
        <v>77</v>
      </c>
      <c r="G51" s="99" t="s">
        <v>76</v>
      </c>
      <c r="H51" s="101"/>
      <c r="I51" s="101"/>
      <c r="J51" s="101"/>
      <c r="K51" s="101"/>
      <c r="L51" s="101"/>
      <c r="M51" s="1">
        <v>4</v>
      </c>
      <c r="O51" s="1">
        <v>125</v>
      </c>
    </row>
    <row r="52" spans="3:15" ht="48.75" hidden="1" customHeight="1">
      <c r="C52" s="56" t="s">
        <v>68</v>
      </c>
      <c r="G52" s="99" t="s">
        <v>71</v>
      </c>
      <c r="H52" s="99"/>
      <c r="I52" s="99"/>
      <c r="J52" s="99"/>
      <c r="K52" s="99"/>
      <c r="L52" s="99"/>
      <c r="M52" s="1">
        <v>3</v>
      </c>
      <c r="O52" s="1">
        <v>125</v>
      </c>
    </row>
    <row r="53" spans="3:15" ht="69" hidden="1" customHeight="1">
      <c r="C53" s="56" t="s">
        <v>64</v>
      </c>
      <c r="G53" s="99" t="s">
        <v>72</v>
      </c>
      <c r="H53" s="101"/>
      <c r="I53" s="101"/>
      <c r="J53" s="101"/>
      <c r="K53" s="101"/>
      <c r="L53" s="101"/>
      <c r="M53" s="1">
        <v>3</v>
      </c>
      <c r="O53" s="1">
        <v>50</v>
      </c>
    </row>
    <row r="54" spans="3:15" ht="51" hidden="1" customHeight="1">
      <c r="C54" s="56" t="s">
        <v>65</v>
      </c>
      <c r="G54" s="102" t="s">
        <v>67</v>
      </c>
      <c r="H54" s="103"/>
      <c r="I54" s="103"/>
      <c r="J54" s="103"/>
      <c r="K54" s="103"/>
      <c r="L54" s="103"/>
      <c r="M54" s="1">
        <v>3</v>
      </c>
      <c r="O54" s="1">
        <v>32</v>
      </c>
    </row>
    <row r="55" spans="3:15" hidden="1">
      <c r="C55" s="46"/>
      <c r="G55" s="100"/>
      <c r="H55" s="100"/>
      <c r="I55" s="100"/>
      <c r="J55" s="100"/>
      <c r="K55" s="100"/>
      <c r="L55" s="100"/>
    </row>
    <row r="56" spans="3:15" hidden="1">
      <c r="C56" s="46"/>
    </row>
    <row r="57" spans="3:15">
      <c r="C57" s="46"/>
    </row>
    <row r="58" spans="3:15">
      <c r="C58" s="46"/>
    </row>
  </sheetData>
  <sheetProtection selectLockedCells="1" autoFilter="0" selectUnlockedCells="1"/>
  <sortState xmlns:xlrd2="http://schemas.microsoft.com/office/spreadsheetml/2017/richdata2" ref="C48:C56">
    <sortCondition ref="C48"/>
  </sortState>
  <mergeCells count="19">
    <mergeCell ref="G48:L48"/>
    <mergeCell ref="G55:L55"/>
    <mergeCell ref="G49:L49"/>
    <mergeCell ref="G51:L51"/>
    <mergeCell ref="G53:L53"/>
    <mergeCell ref="G54:L54"/>
    <mergeCell ref="G52:L52"/>
    <mergeCell ref="G50:L50"/>
    <mergeCell ref="E1:K1"/>
    <mergeCell ref="C3:D3"/>
    <mergeCell ref="C27:D27"/>
    <mergeCell ref="C28:D28"/>
    <mergeCell ref="E23:O23"/>
    <mergeCell ref="E22:O22"/>
    <mergeCell ref="C23:C25"/>
    <mergeCell ref="D23:D25"/>
    <mergeCell ref="C2:D2"/>
    <mergeCell ref="E2:G2"/>
    <mergeCell ref="H2:K2"/>
  </mergeCells>
  <phoneticPr fontId="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7"/>
  <sheetViews>
    <sheetView workbookViewId="0">
      <selection activeCell="K2" sqref="K2"/>
    </sheetView>
  </sheetViews>
  <sheetFormatPr defaultColWidth="8.81640625" defaultRowHeight="14.5"/>
  <cols>
    <col min="4" max="4" width="17.453125" customWidth="1"/>
    <col min="12" max="12" width="13.26953125" customWidth="1"/>
  </cols>
  <sheetData>
    <row r="1" spans="1:13">
      <c r="A1" s="47" t="s">
        <v>50</v>
      </c>
      <c r="E1" s="47" t="s">
        <v>66</v>
      </c>
      <c r="K1" s="47" t="s">
        <v>52</v>
      </c>
      <c r="L1" s="53"/>
      <c r="M1" s="47" t="s">
        <v>53</v>
      </c>
    </row>
    <row r="2" spans="1:13" ht="102.75" customHeight="1">
      <c r="A2" s="56" t="s">
        <v>63</v>
      </c>
      <c r="E2" s="99" t="s">
        <v>80</v>
      </c>
      <c r="F2" s="99"/>
      <c r="G2" s="99"/>
      <c r="H2" s="99"/>
      <c r="I2" s="99"/>
      <c r="J2" s="99"/>
      <c r="K2" s="1">
        <v>4</v>
      </c>
      <c r="M2" s="1">
        <v>315</v>
      </c>
    </row>
    <row r="3" spans="1:13" ht="39.75" customHeight="1">
      <c r="A3" s="56" t="s">
        <v>69</v>
      </c>
      <c r="E3" s="99" t="s">
        <v>70</v>
      </c>
      <c r="F3" s="99"/>
      <c r="G3" s="99"/>
      <c r="H3" s="99"/>
      <c r="I3" s="99"/>
      <c r="J3" s="99"/>
      <c r="K3" s="1">
        <v>4</v>
      </c>
      <c r="M3" s="1">
        <v>200</v>
      </c>
    </row>
    <row r="4" spans="1:13" ht="99.75" customHeight="1">
      <c r="A4" s="56" t="s">
        <v>81</v>
      </c>
      <c r="E4" s="99" t="s">
        <v>83</v>
      </c>
      <c r="F4" s="101"/>
      <c r="G4" s="101"/>
      <c r="H4" s="101"/>
      <c r="I4" s="101"/>
      <c r="J4" s="101"/>
      <c r="K4" s="1">
        <v>4</v>
      </c>
      <c r="M4" s="1">
        <v>125</v>
      </c>
    </row>
    <row r="5" spans="1:13" ht="57.75" customHeight="1">
      <c r="A5" s="56" t="s">
        <v>68</v>
      </c>
      <c r="E5" s="99" t="s">
        <v>71</v>
      </c>
      <c r="F5" s="99"/>
      <c r="G5" s="99"/>
      <c r="H5" s="99"/>
      <c r="I5" s="99"/>
      <c r="J5" s="99"/>
      <c r="K5" s="1">
        <v>3</v>
      </c>
      <c r="M5" s="1">
        <v>125</v>
      </c>
    </row>
    <row r="6" spans="1:13" ht="66.75" customHeight="1">
      <c r="A6" s="56" t="s">
        <v>64</v>
      </c>
      <c r="E6" s="99" t="s">
        <v>72</v>
      </c>
      <c r="F6" s="101"/>
      <c r="G6" s="101"/>
      <c r="H6" s="101"/>
      <c r="I6" s="101"/>
      <c r="J6" s="101"/>
      <c r="K6" s="1">
        <v>3</v>
      </c>
      <c r="M6" s="1">
        <v>80</v>
      </c>
    </row>
    <row r="7" spans="1:13" ht="60.75" customHeight="1">
      <c r="A7" s="56" t="s">
        <v>65</v>
      </c>
      <c r="E7" s="102" t="s">
        <v>82</v>
      </c>
      <c r="F7" s="103"/>
      <c r="G7" s="103"/>
      <c r="H7" s="103"/>
      <c r="I7" s="103"/>
      <c r="J7" s="103"/>
      <c r="K7" s="1">
        <v>3</v>
      </c>
      <c r="M7" s="1">
        <v>50</v>
      </c>
    </row>
  </sheetData>
  <sheetProtection autoFilter="0"/>
  <mergeCells count="6">
    <mergeCell ref="E7:J7"/>
    <mergeCell ref="E2:J2"/>
    <mergeCell ref="E3:J3"/>
    <mergeCell ref="E4:J4"/>
    <mergeCell ref="E5:J5"/>
    <mergeCell ref="E6:J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6:G8"/>
  <sheetViews>
    <sheetView showGridLines="0" workbookViewId="0">
      <selection activeCell="F7" sqref="F7"/>
    </sheetView>
  </sheetViews>
  <sheetFormatPr defaultColWidth="8.81640625" defaultRowHeight="14.5"/>
  <sheetData>
    <row r="6" spans="2:7">
      <c r="B6" t="s">
        <v>78</v>
      </c>
      <c r="F6">
        <v>8</v>
      </c>
      <c r="G6" t="s">
        <v>79</v>
      </c>
    </row>
    <row r="8" spans="2:7">
      <c r="B8" t="s">
        <v>86</v>
      </c>
    </row>
  </sheetData>
  <sheetProtection autoFilter="0"/>
  <phoneticPr fontId="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73A58F020CAE47AAE85615483BB9C5" ma:contentTypeVersion="1" ma:contentTypeDescription="Create a new document." ma:contentTypeScope="" ma:versionID="3ce71101c8964a481d231493f3551cc7">
  <xsd:schema xmlns:xsd="http://www.w3.org/2001/XMLSchema" xmlns:xs="http://www.w3.org/2001/XMLSchema" xmlns:p="http://schemas.microsoft.com/office/2006/metadata/properties" xmlns:ns2="eb5db839-f486-4d9f-9f0b-9da47955d21d" targetNamespace="http://schemas.microsoft.com/office/2006/metadata/properties" ma:root="true" ma:fieldsID="38d0c0f8af5f05ef02a32bce7c28c3e9" ns2:_="">
    <xsd:import namespace="eb5db839-f486-4d9f-9f0b-9da47955d21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db839-f486-4d9f-9f0b-9da47955d2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3A33C0-01A5-4243-B7D1-86C193360A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5180C5-ADF3-49C6-8CF2-D03014899BB7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b5db839-f486-4d9f-9f0b-9da47955d21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FA882E-4592-422C-A110-5E4C7872C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db839-f486-4d9f-9f0b-9da47955d2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Sampling Plan Inspection</vt:lpstr>
      <vt:lpstr>AQL Table</vt:lpstr>
      <vt:lpstr>details</vt:lpstr>
      <vt:lpstr>Workload picking</vt:lpstr>
      <vt:lpstr>'Sampling Plan Inspection'!Print_Area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2026-07-19T13:11:25Z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0x0101007D73A58F020CAE47AAE85615483BB9C5</vt:lpwstr>
  </property>
</Properties>
</file>